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6"/>
  </bookViews>
  <sheets>
    <sheet name="SinhVien" sheetId="1" r:id="rId1"/>
    <sheet name="Diem" sheetId="2" r:id="rId2"/>
    <sheet name="MonHoc" sheetId="3" r:id="rId3"/>
    <sheet name="Caua" sheetId="6" r:id="rId4"/>
    <sheet name="Caub" sheetId="7" r:id="rId5"/>
    <sheet name="Cauc" sheetId="11" r:id="rId6"/>
    <sheet name="Caud" sheetId="9" r:id="rId7"/>
  </sheets>
  <definedNames>
    <definedName name="_xlnm._FilterDatabase" localSheetId="3" hidden="1">Caua!$A$1:$D$16</definedName>
    <definedName name="_xlnm._FilterDatabase" localSheetId="4" hidden="1">Caub!$A$1:$C$16</definedName>
    <definedName name="_xlnm._FilterDatabase" localSheetId="5" hidden="1">Cauc!$A$1:$E$16</definedName>
    <definedName name="_xlnm._FilterDatabase" localSheetId="6" hidden="1">Caud!$A$1:$D$16</definedName>
    <definedName name="_xlnm._FilterDatabase" localSheetId="0" hidden="1">SinhVien!$A$1:$D$15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<sst xmlns="http://schemas.openxmlformats.org/spreadsheetml/2006/main" count="287" uniqueCount="79">
  <si>
    <t>MSSV</t>
  </si>
  <si>
    <t>Hoten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</si>
  <si>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</si>
  <si>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</si>
  <si>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</si>
  <si>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</si>
  <si>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</si>
  <si>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</si>
  <si>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</si>
  <si>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</si>
  <si>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</si>
  <si>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</si>
  <si>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</si>
  <si>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</si>
  <si>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</si>
  <si>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</si>
  <si>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</si>
  <si>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</si>
  <si>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</si>
  <si>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</si>
  <si>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</si>
  <si>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</si>
  <si>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</si>
  <si>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</si>
  <si>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</si>
  <si>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</si>
  <si>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</si>
  <si>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</si>
  <si>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</si>
  <si>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</si>
  <si>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</si>
  <si>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</si>
  <si>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</si>
  <si>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</si>
  <si>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</si>
  <si>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</si>
  <si>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</si>
  <si>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</si>
  <si>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</si>
  <si>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</si>
  <si>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</si>
  <si>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</si>
  <si>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</si>
  <si>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</si>
  <si>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</si>
  <si>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</si>
  <si>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</si>
  <si>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</si>
  <si>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</si>
  <si>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</si>
  <si>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</si>
  <si>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</si>
  <si>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</si>
  <si>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</t>
  </si>
  <si>
    <t>Như</t>
  </si>
  <si>
    <t>Sơn</t>
  </si>
  <si>
    <t>Sony</t>
  </si>
  <si>
    <t>Võ Đông</t>
  </si>
  <si>
    <t>Triều</t>
  </si>
  <si>
    <t>Lê Phong</t>
  </si>
  <si>
    <t>Cảnh</t>
  </si>
  <si>
    <t>Trần Tấn</t>
  </si>
  <si>
    <t>Quốc</t>
  </si>
  <si>
    <t>Nguyễn Thanh</t>
  </si>
  <si>
    <t>Thiện</t>
  </si>
  <si>
    <t>Hồ Thị Huế</t>
  </si>
  <si>
    <t>Chi</t>
  </si>
  <si>
    <t>Nguyễn Hoài</t>
  </si>
  <si>
    <t>Nam</t>
  </si>
  <si>
    <t>Cao Tuấn</t>
  </si>
  <si>
    <t>Nguyên</t>
  </si>
  <si>
    <t>Huỳnh Nhựt</t>
  </si>
  <si>
    <t>Thương</t>
  </si>
  <si>
    <t>Nguyễn Phước</t>
  </si>
  <si>
    <t>Toàn</t>
  </si>
  <si>
    <t>Hồng Duy</t>
  </si>
  <si>
    <t>Hiệu</t>
  </si>
  <si>
    <t>Kim</t>
  </si>
  <si>
    <t>Mel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</si>
</sst>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Aptos Narrow"/>
      <charset val="163"/>
      <scheme val="minor"/>
    </font>
    <font>
      <sz val="11"/>
      <color rgb="FF000000"/>
      <name val="Times New Roman"/>
      <charset val="163"/>
    </font>
    <font>
      <sz val="10"/>
      <color rgb="FF000000"/>
      <name val="Aptos Narrow"/>
      <charset val="163"/>
      <scheme val="minor"/>
    </font>
    <font>
      <b/>
      <sz val="10"/>
      <color rgb="FF000000"/>
      <name val="Aptos Narrow"/>
      <charset val="163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8" sqref="E8"/>
    </sheetView>
  </sheetViews>
  <sheetFormatPr defaultColWidth="9" defaultRowHeight="13.8" outlineLevelCol="6"/>
  <sheetData>
    <row r="1" spans="1:4">
      <c r="A1" s="19" t="s">
        <v>0</v>
      </c>
      <c r="B1" s="19" t="s">
        <v>1</v>
      </c>
      <c r="C1" s="19"/>
      <c r="D1" s="20" t="s">
        <v>2</v>
      </c>
    </row>
    <row r="2" spans="1:4">
      <c r="A2" s="3">
        <v>1111434</v>
      </c>
      <c r="B2" s="24" t="s">
        <v>3</v>
      </c>
      <c r="C2" s="24"/>
      <c r="D2" s="21" t="s">
        <v>4</v>
      </c>
    </row>
    <row r="3" spans="1:4">
      <c r="A3" s="3">
        <v>1111450</v>
      </c>
      <c r="B3" s="24" t="s">
        <v>5</v>
      </c>
      <c r="C3" s="24"/>
      <c r="D3" s="21" t="s">
        <v>6</v>
      </c>
    </row>
    <row r="4" spans="1:4">
      <c r="A4" s="3" t="s">
        <v>7</v>
      </c>
      <c r="B4" s="24" t="s">
        <v>8</v>
      </c>
      <c r="C4" s="24"/>
      <c r="D4" s="21" t="s">
        <v>9</v>
      </c>
    </row>
    <row r="5" spans="1:4">
      <c r="A5" s="3" t="s">
        <v>10</v>
      </c>
      <c r="B5" s="24" t="s">
        <v>11</v>
      </c>
      <c r="C5" s="24"/>
      <c r="D5" s="21" t="s">
        <v>9</v>
      </c>
    </row>
    <row r="6" spans="1:4">
      <c r="A6" s="3" t="s">
        <v>12</v>
      </c>
      <c r="B6" s="24" t="s">
        <v>13</v>
      </c>
      <c r="C6" s="24"/>
      <c r="D6" s="21" t="s">
        <v>9</v>
      </c>
    </row>
    <row r="7" ht="25.5" customHeight="1" spans="1:4">
      <c r="A7" s="3" t="s">
        <v>14</v>
      </c>
      <c r="B7" s="24" t="s">
        <v>15</v>
      </c>
      <c r="C7" s="24"/>
      <c r="D7" s="21" t="s">
        <v>16</v>
      </c>
    </row>
    <row r="8" ht="25.5" customHeight="1" spans="1:4">
      <c r="A8" s="3" t="s">
        <v>17</v>
      </c>
      <c r="B8" s="24" t="s">
        <v>18</v>
      </c>
      <c r="C8" s="24"/>
      <c r="D8" s="21" t="s">
        <v>19</v>
      </c>
    </row>
    <row r="9" spans="1:4">
      <c r="A9" s="3" t="s">
        <v>20</v>
      </c>
      <c r="B9" s="24" t="s">
        <v>21</v>
      </c>
      <c r="C9" s="24"/>
      <c r="D9" s="21" t="s">
        <v>22</v>
      </c>
    </row>
    <row r="10" ht="25.5" customHeight="1" spans="1:7">
      <c r="A10" s="3" t="s">
        <v>23</v>
      </c>
      <c r="B10" s="24" t="s">
        <v>24</v>
      </c>
      <c r="C10" s="24"/>
      <c r="D10" s="21" t="s">
        <v>25</v>
      </c>
      <c r="G10" s="25"/>
    </row>
    <row r="11" spans="1:4">
      <c r="A11" s="3" t="s">
        <v>26</v>
      </c>
      <c r="B11" s="24" t="s">
        <v>27</v>
      </c>
      <c r="C11" s="24"/>
      <c r="D11" s="21" t="s">
        <v>25</v>
      </c>
    </row>
    <row r="12" ht="25.5" customHeight="1" spans="1:4">
      <c r="A12" s="3" t="s">
        <v>28</v>
      </c>
      <c r="B12" s="24" t="s">
        <v>29</v>
      </c>
      <c r="C12" s="24"/>
      <c r="D12" s="21" t="s">
        <v>30</v>
      </c>
    </row>
    <row r="13" ht="26.4" spans="1:4">
      <c r="A13" s="3" t="s">
        <v>31</v>
      </c>
      <c r="B13" s="24" t="s">
        <v>32</v>
      </c>
      <c r="C13" s="24"/>
      <c r="D13" s="21" t="s">
        <v>33</v>
      </c>
    </row>
    <row r="14" spans="1:4">
      <c r="A14" s="3" t="s">
        <v>34</v>
      </c>
      <c r="B14" s="24" t="s">
        <v>35</v>
      </c>
      <c r="C14" s="24"/>
      <c r="D14" s="21" t="s">
        <v>36</v>
      </c>
    </row>
    <row r="15" spans="1:4">
      <c r="A15" s="3" t="s">
        <v>37</v>
      </c>
      <c r="B15" s="24" t="s">
        <v>38</v>
      </c>
      <c r="C15" s="24"/>
      <c r="D15" s="21" t="s">
        <v>36</v>
      </c>
    </row>
    <row r="16" spans="1:4">
      <c r="A16" s="25"/>
      <c r="B16" s="25"/>
      <c r="C16" s="25"/>
      <c r="D16" s="25"/>
    </row>
    <row r="17" spans="1:4">
      <c r="A17" s="25"/>
      <c r="B17" s="25"/>
      <c r="C17" s="25"/>
      <c r="D17" s="25"/>
    </row>
  </sheetData>
  <mergeCells count="15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:C16"/>
    </sheetView>
  </sheetViews>
  <sheetFormatPr defaultColWidth="9" defaultRowHeight="13.8" outlineLevelCol="2"/>
  <sheetData>
    <row r="1" spans="1:3">
      <c r="A1" s="1" t="s">
        <v>0</v>
      </c>
      <c r="B1" s="1" t="s">
        <v>39</v>
      </c>
      <c r="C1" s="1" t="s">
        <v>40</v>
      </c>
    </row>
    <row r="2" spans="1:3">
      <c r="A2" s="3">
        <v>1111434</v>
      </c>
      <c r="B2" s="4" t="s">
        <v>41</v>
      </c>
      <c r="C2" s="1" t="s">
        <v>42</v>
      </c>
    </row>
    <row r="3" spans="1:3">
      <c r="A3" s="3">
        <v>1111450</v>
      </c>
      <c r="B3" s="4" t="s">
        <v>43</v>
      </c>
      <c r="C3" s="1" t="s">
        <v>42</v>
      </c>
    </row>
    <row r="4" spans="1:3">
      <c r="A4" s="3" t="s">
        <v>7</v>
      </c>
      <c r="B4" s="4" t="s">
        <v>44</v>
      </c>
      <c r="C4" s="1" t="s">
        <v>45</v>
      </c>
    </row>
    <row r="5" spans="1:3">
      <c r="A5" s="3" t="s">
        <v>10</v>
      </c>
      <c r="B5" s="4" t="s">
        <v>41</v>
      </c>
      <c r="C5" s="1" t="s">
        <v>46</v>
      </c>
    </row>
    <row r="6" spans="1:3">
      <c r="A6" s="3" t="s">
        <v>12</v>
      </c>
      <c r="B6" s="4" t="s">
        <v>43</v>
      </c>
      <c r="C6" s="1" t="s">
        <v>47</v>
      </c>
    </row>
    <row r="7" spans="1:3">
      <c r="A7" s="3" t="s">
        <v>14</v>
      </c>
      <c r="B7" s="4" t="s">
        <v>44</v>
      </c>
      <c r="C7" s="1" t="s">
        <v>42</v>
      </c>
    </row>
    <row r="8" spans="1:3">
      <c r="A8" s="3" t="s">
        <v>17</v>
      </c>
      <c r="B8" s="4" t="s">
        <v>41</v>
      </c>
      <c r="C8" s="1" t="s">
        <v>42</v>
      </c>
    </row>
    <row r="9" spans="1:3">
      <c r="A9" s="3" t="s">
        <v>20</v>
      </c>
      <c r="B9" s="4" t="s">
        <v>43</v>
      </c>
      <c r="C9" s="1" t="s">
        <v>45</v>
      </c>
    </row>
    <row r="10" spans="1:3">
      <c r="A10" s="3" t="s">
        <v>23</v>
      </c>
      <c r="B10" s="4" t="s">
        <v>44</v>
      </c>
      <c r="C10" s="1" t="s">
        <v>46</v>
      </c>
    </row>
    <row r="11" spans="1:3">
      <c r="A11" s="3" t="s">
        <v>26</v>
      </c>
      <c r="B11" s="4" t="s">
        <v>41</v>
      </c>
      <c r="C11" s="1" t="s">
        <v>47</v>
      </c>
    </row>
    <row r="12" spans="1:3">
      <c r="A12" s="3" t="s">
        <v>28</v>
      </c>
      <c r="B12" s="4" t="s">
        <v>43</v>
      </c>
      <c r="C12" s="1" t="s">
        <v>42</v>
      </c>
    </row>
    <row r="13" spans="1:3">
      <c r="A13" s="3" t="s">
        <v>31</v>
      </c>
      <c r="B13" s="4" t="s">
        <v>44</v>
      </c>
      <c r="C13" s="1" t="s">
        <v>42</v>
      </c>
    </row>
    <row r="14" spans="1:3">
      <c r="A14" s="3" t="s">
        <v>34</v>
      </c>
      <c r="B14" s="4" t="s">
        <v>41</v>
      </c>
      <c r="C14" s="1" t="s">
        <v>45</v>
      </c>
    </row>
    <row r="15" spans="1:3">
      <c r="A15" s="3" t="s">
        <v>37</v>
      </c>
      <c r="B15" s="4" t="s">
        <v>43</v>
      </c>
      <c r="C15" s="1" t="s">
        <v>46</v>
      </c>
    </row>
    <row r="16" spans="1:3">
      <c r="A16" s="6"/>
      <c r="B16" s="7"/>
      <c r="C16" s="1" t="s">
        <v>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E18" sqref="E18"/>
    </sheetView>
  </sheetViews>
  <sheetFormatPr defaultColWidth="9" defaultRowHeight="13.8" outlineLevelCol="2"/>
  <sheetData>
    <row r="1" spans="1:3">
      <c r="A1" s="16" t="s">
        <v>39</v>
      </c>
      <c r="B1" s="16" t="s">
        <v>48</v>
      </c>
      <c r="C1" s="16" t="s">
        <v>49</v>
      </c>
    </row>
    <row r="2" ht="27.6" spans="1:3">
      <c r="A2" s="16" t="s">
        <v>41</v>
      </c>
      <c r="B2" s="16" t="s">
        <v>50</v>
      </c>
      <c r="C2" s="16">
        <v>3</v>
      </c>
    </row>
    <row r="3" ht="27.6" spans="1:3">
      <c r="A3" s="16" t="s">
        <v>43</v>
      </c>
      <c r="B3" s="16" t="s">
        <v>51</v>
      </c>
      <c r="C3" s="16">
        <v>3</v>
      </c>
    </row>
    <row r="4" ht="27.6" spans="1:3">
      <c r="A4" s="16" t="s">
        <v>44</v>
      </c>
      <c r="B4" s="16" t="s">
        <v>52</v>
      </c>
      <c r="C4" s="16">
        <v>3</v>
      </c>
    </row>
    <row r="5" spans="1:3">
      <c r="A5" s="18"/>
      <c r="B5" s="18"/>
      <c r="C5" s="18"/>
    </row>
    <row r="6" spans="1:3">
      <c r="A6" s="18"/>
      <c r="B6" s="18"/>
      <c r="C6" s="18"/>
    </row>
    <row r="7" spans="1:3">
      <c r="A7" s="18"/>
      <c r="B7" s="18"/>
      <c r="C7" s="18"/>
    </row>
    <row r="8" spans="1:3">
      <c r="A8" s="18"/>
      <c r="B8" s="18"/>
      <c r="C8" s="18"/>
    </row>
    <row r="9" spans="1:3">
      <c r="A9" s="18"/>
      <c r="B9" s="18"/>
      <c r="C9" s="18"/>
    </row>
    <row r="10" spans="1:3">
      <c r="A10" s="18"/>
      <c r="B10" s="18"/>
      <c r="C10" s="18"/>
    </row>
    <row r="11" spans="1:3">
      <c r="A11" s="18"/>
      <c r="B11" s="18"/>
      <c r="C11" s="18"/>
    </row>
    <row r="12" spans="1:3">
      <c r="A12" s="18"/>
      <c r="B12" s="18"/>
      <c r="C12" s="18"/>
    </row>
    <row r="13" spans="1:3">
      <c r="A13" s="18"/>
      <c r="B13" s="18"/>
      <c r="C13" s="18"/>
    </row>
    <row r="14" spans="1:3">
      <c r="A14" s="18"/>
      <c r="B14" s="18"/>
      <c r="C14" s="18"/>
    </row>
    <row r="15" spans="1:3">
      <c r="A15" s="18"/>
      <c r="B15" s="18"/>
      <c r="C15" s="18"/>
    </row>
    <row r="16" spans="1:3">
      <c r="A16" s="18"/>
      <c r="B16" s="18"/>
      <c r="C16" s="1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"/>
  <sheetViews>
    <sheetView workbookViewId="0">
      <selection activeCell="B7" sqref="B7:C7"/>
    </sheetView>
  </sheetViews>
  <sheetFormatPr defaultColWidth="9" defaultRowHeight="13.8" outlineLevelCol="3"/>
  <sheetData>
    <row r="1" spans="1:4">
      <c r="A1" s="19" t="s">
        <v>0</v>
      </c>
      <c r="B1" s="19" t="s">
        <v>1</v>
      </c>
      <c r="C1" s="19"/>
      <c r="D1" s="20" t="s">
        <v>2</v>
      </c>
    </row>
    <row r="2" hidden="1" spans="1:4">
      <c r="A2" s="3">
        <v>1111434</v>
      </c>
      <c r="B2" s="3" t="s">
        <v>53</v>
      </c>
      <c r="C2" s="3" t="s">
        <v>54</v>
      </c>
      <c r="D2" s="21" t="s">
        <v>4</v>
      </c>
    </row>
    <row r="3" hidden="1" spans="1:4">
      <c r="A3" s="3">
        <v>1111450</v>
      </c>
      <c r="B3" s="3" t="s">
        <v>55</v>
      </c>
      <c r="C3" s="3" t="s">
        <v>56</v>
      </c>
      <c r="D3" s="21" t="s">
        <v>6</v>
      </c>
    </row>
    <row r="4" hidden="1" spans="1:4">
      <c r="A4" s="3" t="s">
        <v>7</v>
      </c>
      <c r="B4" s="3" t="s">
        <v>57</v>
      </c>
      <c r="C4" s="3" t="s">
        <v>58</v>
      </c>
      <c r="D4" s="21" t="s">
        <v>9</v>
      </c>
    </row>
    <row r="5" hidden="1" spans="1:4">
      <c r="A5" s="3" t="s">
        <v>10</v>
      </c>
      <c r="B5" s="3" t="s">
        <v>59</v>
      </c>
      <c r="C5" s="3" t="s">
        <v>60</v>
      </c>
      <c r="D5" s="21" t="s">
        <v>9</v>
      </c>
    </row>
    <row r="6" hidden="1" spans="1:4">
      <c r="A6" s="3" t="s">
        <v>12</v>
      </c>
      <c r="B6" s="3" t="s">
        <v>61</v>
      </c>
      <c r="C6" s="3" t="s">
        <v>62</v>
      </c>
      <c r="D6" s="21" t="s">
        <v>9</v>
      </c>
    </row>
    <row r="7" ht="25.5" customHeight="1" spans="1:4">
      <c r="A7" s="3" t="s">
        <v>14</v>
      </c>
      <c r="B7" s="22" t="s">
        <v>63</v>
      </c>
      <c r="C7" s="23"/>
      <c r="D7" s="21" t="s">
        <v>16</v>
      </c>
    </row>
    <row r="8" ht="25.5" customHeight="1" spans="1:4">
      <c r="A8" s="3" t="s">
        <v>17</v>
      </c>
      <c r="B8" s="3" t="s">
        <v>63</v>
      </c>
      <c r="C8" s="3" t="s">
        <v>64</v>
      </c>
      <c r="D8" s="21" t="s">
        <v>19</v>
      </c>
    </row>
    <row r="9" hidden="1" spans="1:4">
      <c r="A9" s="3" t="s">
        <v>20</v>
      </c>
      <c r="B9" s="3" t="s">
        <v>65</v>
      </c>
      <c r="C9" s="3" t="s">
        <v>66</v>
      </c>
      <c r="D9" s="21" t="s">
        <v>22</v>
      </c>
    </row>
    <row r="10" ht="26.4" hidden="1" spans="1:4">
      <c r="A10" s="3" t="s">
        <v>23</v>
      </c>
      <c r="B10" s="3" t="s">
        <v>67</v>
      </c>
      <c r="C10" s="3" t="s">
        <v>68</v>
      </c>
      <c r="D10" s="21" t="s">
        <v>25</v>
      </c>
    </row>
    <row r="11" hidden="1" spans="1:4">
      <c r="A11" s="3" t="s">
        <v>26</v>
      </c>
      <c r="B11" s="3" t="s">
        <v>69</v>
      </c>
      <c r="C11" s="3" t="s">
        <v>70</v>
      </c>
      <c r="D11" s="21" t="s">
        <v>25</v>
      </c>
    </row>
    <row r="12" ht="26.4" hidden="1" spans="1:4">
      <c r="A12" s="3" t="s">
        <v>28</v>
      </c>
      <c r="B12" s="3" t="s">
        <v>71</v>
      </c>
      <c r="C12" s="3" t="s">
        <v>72</v>
      </c>
      <c r="D12" s="21" t="s">
        <v>30</v>
      </c>
    </row>
    <row r="13" ht="26.4" hidden="1" spans="1:4">
      <c r="A13" s="3" t="s">
        <v>31</v>
      </c>
      <c r="B13" s="3" t="s">
        <v>73</v>
      </c>
      <c r="C13" s="3" t="s">
        <v>74</v>
      </c>
      <c r="D13" s="21" t="s">
        <v>33</v>
      </c>
    </row>
    <row r="14" hidden="1" spans="1:4">
      <c r="A14" s="3" t="s">
        <v>34</v>
      </c>
      <c r="B14" s="3" t="s">
        <v>75</v>
      </c>
      <c r="C14" s="3" t="s">
        <v>76</v>
      </c>
      <c r="D14" s="21" t="s">
        <v>36</v>
      </c>
    </row>
    <row r="15" hidden="1" spans="1:4">
      <c r="A15" s="3" t="s">
        <v>37</v>
      </c>
      <c r="B15" s="3" t="s">
        <v>77</v>
      </c>
      <c r="C15" s="3" t="s">
        <v>78</v>
      </c>
      <c r="D15" s="21" t="s">
        <v>36</v>
      </c>
    </row>
    <row r="16" hidden="1" spans="1:4">
      <c r="A16" s="5"/>
      <c r="B16" s="5"/>
      <c r="C16" s="5"/>
      <c r="D16" s="5"/>
    </row>
  </sheetData>
  <autoFilter xmlns:etc="http://www.wps.cn/officeDocument/2017/etCustomData" ref="A1:D16" etc:filterBottomFollowUsedRange="0">
    <filterColumn colId="3">
      <customFilters>
        <customFilter operator="equal" val="DI1295A1"/>
        <customFilter operator="equal" val="DI1296A2"/>
      </customFilters>
    </filterColumn>
    <extLst/>
  </autoFilter>
  <mergeCells count="2">
    <mergeCell ref="B1:C1"/>
    <mergeCell ref="B7:C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"/>
  <sheetViews>
    <sheetView workbookViewId="0">
      <selection activeCell="D1" sqref="D1"/>
    </sheetView>
  </sheetViews>
  <sheetFormatPr defaultColWidth="9" defaultRowHeight="13.8" outlineLevelCol="3"/>
  <cols>
    <col min="4" max="4" width="17.375" customWidth="1"/>
  </cols>
  <sheetData>
    <row r="1" spans="1:4">
      <c r="A1" s="1" t="s">
        <v>0</v>
      </c>
      <c r="B1" s="1" t="s">
        <v>39</v>
      </c>
      <c r="C1" s="1" t="s">
        <v>40</v>
      </c>
      <c r="D1" s="5" t="str">
        <f>VLOOKUP(A2,SinhVien!A:C,2,FALSE)</f>
        <v>Lê Huỳnh Như</v>
      </c>
    </row>
    <row r="2" hidden="1" spans="1:3">
      <c r="A2" s="11">
        <v>1111434</v>
      </c>
      <c r="B2" s="12" t="s">
        <v>41</v>
      </c>
      <c r="C2" s="13" t="s">
        <v>42</v>
      </c>
    </row>
    <row r="3" hidden="1" spans="1:3">
      <c r="A3" s="14">
        <v>1111450</v>
      </c>
      <c r="B3" s="15" t="s">
        <v>43</v>
      </c>
      <c r="C3" s="16" t="s">
        <v>42</v>
      </c>
    </row>
    <row r="4" spans="1:4">
      <c r="A4" s="3" t="s">
        <v>7</v>
      </c>
      <c r="B4" s="4" t="s">
        <v>44</v>
      </c>
      <c r="C4" s="1" t="s">
        <v>45</v>
      </c>
      <c r="D4" s="5" t="str">
        <f>VLOOKUP(A5,SinhVien!A:C,2,FALSE)</f>
        <v>Lê Phong Cảnh</v>
      </c>
    </row>
    <row r="5" hidden="1" spans="1:3">
      <c r="A5" s="11" t="s">
        <v>10</v>
      </c>
      <c r="B5" s="12" t="s">
        <v>41</v>
      </c>
      <c r="C5" s="13" t="s">
        <v>46</v>
      </c>
    </row>
    <row r="6" hidden="1" spans="1:3">
      <c r="A6" s="14" t="s">
        <v>12</v>
      </c>
      <c r="B6" s="15" t="s">
        <v>43</v>
      </c>
      <c r="C6" s="16" t="s">
        <v>47</v>
      </c>
    </row>
    <row r="7" spans="1:4">
      <c r="A7" s="3" t="s">
        <v>14</v>
      </c>
      <c r="B7" s="4" t="s">
        <v>44</v>
      </c>
      <c r="C7" s="1" t="s">
        <v>42</v>
      </c>
      <c r="D7" s="5" t="str">
        <f>VLOOKUP(A8,SinhVien!A:C,2,FALSE)</f>
        <v>Nguyễn Thanh Thiện</v>
      </c>
    </row>
    <row r="8" hidden="1" spans="1:3">
      <c r="A8" s="11" t="s">
        <v>17</v>
      </c>
      <c r="B8" s="12" t="s">
        <v>41</v>
      </c>
      <c r="C8" s="13" t="s">
        <v>42</v>
      </c>
    </row>
    <row r="9" hidden="1" spans="1:3">
      <c r="A9" s="14" t="s">
        <v>20</v>
      </c>
      <c r="B9" s="15" t="s">
        <v>43</v>
      </c>
      <c r="C9" s="16" t="s">
        <v>45</v>
      </c>
    </row>
    <row r="10" spans="1:4">
      <c r="A10" s="3" t="s">
        <v>23</v>
      </c>
      <c r="B10" s="4" t="s">
        <v>44</v>
      </c>
      <c r="C10" s="1" t="s">
        <v>46</v>
      </c>
      <c r="D10" s="5" t="str">
        <f>VLOOKUP(A11,SinhVien!A:C,2,FALSE)</f>
        <v>Cao Tuấn Nguyên</v>
      </c>
    </row>
    <row r="11" hidden="1" spans="1:3">
      <c r="A11" s="11" t="s">
        <v>26</v>
      </c>
      <c r="B11" s="12" t="s">
        <v>41</v>
      </c>
      <c r="C11" s="13" t="s">
        <v>47</v>
      </c>
    </row>
    <row r="12" hidden="1" spans="1:3">
      <c r="A12" s="14" t="s">
        <v>28</v>
      </c>
      <c r="B12" s="15" t="s">
        <v>43</v>
      </c>
      <c r="C12" s="16" t="s">
        <v>42</v>
      </c>
    </row>
    <row r="13" spans="1:4">
      <c r="A13" s="3" t="s">
        <v>31</v>
      </c>
      <c r="B13" s="4" t="s">
        <v>44</v>
      </c>
      <c r="C13" s="1" t="s">
        <v>42</v>
      </c>
      <c r="D13" s="5" t="str">
        <f>VLOOKUP(A14,SinhVien!A:C,2,FALSE)</f>
        <v>Hồng Duy Hiệu</v>
      </c>
    </row>
    <row r="14" hidden="1" spans="1:3">
      <c r="A14" s="11" t="s">
        <v>34</v>
      </c>
      <c r="B14" s="12" t="s">
        <v>41</v>
      </c>
      <c r="C14" s="13" t="s">
        <v>45</v>
      </c>
    </row>
    <row r="15" hidden="1" spans="1:3">
      <c r="A15" s="14" t="s">
        <v>37</v>
      </c>
      <c r="B15" s="15" t="s">
        <v>43</v>
      </c>
      <c r="C15" s="16" t="s">
        <v>46</v>
      </c>
    </row>
    <row r="16" hidden="1" spans="1:3">
      <c r="A16" s="17"/>
      <c r="B16" s="18"/>
      <c r="C16" s="16" t="s">
        <v>47</v>
      </c>
    </row>
  </sheetData>
  <autoFilter xmlns:etc="http://www.wps.cn/officeDocument/2017/etCustomData" ref="A1:C16" etc:filterBottomFollowUsedRange="0">
    <filterColumn colId="1">
      <customFilters>
        <customFilter operator="equal" val="CT178"/>
      </customFilters>
    </filterColumn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6"/>
  <sheetViews>
    <sheetView workbookViewId="0">
      <selection activeCell="G41" sqref="G41"/>
    </sheetView>
  </sheetViews>
  <sheetFormatPr defaultColWidth="9" defaultRowHeight="13.8" outlineLevelCol="4"/>
  <cols>
    <col min="4" max="4" width="17.875" customWidth="1"/>
    <col min="5" max="5" width="12.5" customWidth="1"/>
  </cols>
  <sheetData>
    <row r="1" spans="1:5">
      <c r="A1" s="1" t="s">
        <v>0</v>
      </c>
      <c r="B1" s="1" t="s">
        <v>39</v>
      </c>
      <c r="C1" s="1" t="s">
        <v>40</v>
      </c>
      <c r="D1" s="2" t="s">
        <v>1</v>
      </c>
      <c r="E1" s="2" t="s">
        <v>2</v>
      </c>
    </row>
    <row r="2" hidden="1" spans="1:3">
      <c r="A2" s="8">
        <v>1111434</v>
      </c>
      <c r="B2" s="9" t="s">
        <v>41</v>
      </c>
      <c r="C2" s="10" t="s">
        <v>42</v>
      </c>
    </row>
    <row r="3" hidden="1" spans="1:3">
      <c r="A3" s="3">
        <v>1111450</v>
      </c>
      <c r="B3" s="4" t="s">
        <v>43</v>
      </c>
      <c r="C3" s="1" t="s">
        <v>42</v>
      </c>
    </row>
    <row r="4" spans="1:5">
      <c r="A4" s="3" t="s">
        <v>7</v>
      </c>
      <c r="B4" s="4" t="s">
        <v>44</v>
      </c>
      <c r="C4" s="1" t="s">
        <v>45</v>
      </c>
      <c r="D4" s="5" t="str">
        <f>VLOOKUP(A2,SinhVien!A:C,2,FALSE)</f>
        <v>Lê Huỳnh Như</v>
      </c>
      <c r="E4" s="5" t="str">
        <f>VLOOKUP(A4,SinhVien!A:D,4,FALSE)</f>
        <v>CP1296C1</v>
      </c>
    </row>
    <row r="5" hidden="1" spans="1:3">
      <c r="A5" s="8" t="s">
        <v>10</v>
      </c>
      <c r="B5" s="9" t="s">
        <v>41</v>
      </c>
      <c r="C5" s="10" t="s">
        <v>46</v>
      </c>
    </row>
    <row r="6" hidden="1" spans="1:3">
      <c r="A6" s="3" t="s">
        <v>12</v>
      </c>
      <c r="B6" s="4" t="s">
        <v>43</v>
      </c>
      <c r="C6" s="1" t="s">
        <v>47</v>
      </c>
    </row>
    <row r="7" hidden="1" spans="1:5">
      <c r="A7" s="3" t="s">
        <v>14</v>
      </c>
      <c r="B7" s="4" t="s">
        <v>44</v>
      </c>
      <c r="C7" s="1" t="s">
        <v>42</v>
      </c>
      <c r="D7" s="5" t="str">
        <f>VLOOKUP(A5,SinhVien!A:C,2,FALSE)</f>
        <v>Lê Phong Cảnh</v>
      </c>
      <c r="E7" s="5" t="str">
        <f>VLOOKUP(A7,SinhVien!A:D,4,FALSE)</f>
        <v>DI1296A2</v>
      </c>
    </row>
    <row r="8" hidden="1" spans="1:3">
      <c r="A8" s="8" t="s">
        <v>17</v>
      </c>
      <c r="B8" s="9" t="s">
        <v>41</v>
      </c>
      <c r="C8" s="10" t="s">
        <v>42</v>
      </c>
    </row>
    <row r="9" hidden="1" spans="1:3">
      <c r="A9" s="3" t="s">
        <v>20</v>
      </c>
      <c r="B9" s="4" t="s">
        <v>43</v>
      </c>
      <c r="C9" s="1" t="s">
        <v>45</v>
      </c>
    </row>
    <row r="10" hidden="1" spans="1:5">
      <c r="A10" s="3" t="s">
        <v>23</v>
      </c>
      <c r="B10" s="4" t="s">
        <v>44</v>
      </c>
      <c r="C10" s="1" t="s">
        <v>46</v>
      </c>
      <c r="D10" s="5" t="str">
        <f>VLOOKUP(A8,SinhVien!A:C,2,FALSE)</f>
        <v>Nguyễn Thanh Thiện</v>
      </c>
      <c r="E10" s="5" t="str">
        <f>VLOOKUP(A10,SinhVien!A:D,4,FALSE)</f>
        <v>TC12Z5A1</v>
      </c>
    </row>
    <row r="11" hidden="1" spans="1:3">
      <c r="A11" s="8" t="s">
        <v>26</v>
      </c>
      <c r="B11" s="9" t="s">
        <v>41</v>
      </c>
      <c r="C11" s="10" t="s">
        <v>47</v>
      </c>
    </row>
    <row r="12" hidden="1" spans="1:3">
      <c r="A12" s="3" t="s">
        <v>28</v>
      </c>
      <c r="B12" s="4" t="s">
        <v>43</v>
      </c>
      <c r="C12" s="1" t="s">
        <v>42</v>
      </c>
    </row>
    <row r="13" hidden="1" spans="1:5">
      <c r="A13" s="3" t="s">
        <v>31</v>
      </c>
      <c r="B13" s="4" t="s">
        <v>44</v>
      </c>
      <c r="C13" s="1" t="s">
        <v>42</v>
      </c>
      <c r="D13" s="5" t="str">
        <f>VLOOKUP(A11,SinhVien!A:C,2,FALSE)</f>
        <v>Cao Tuấn Nguyên</v>
      </c>
      <c r="E13" s="5" t="str">
        <f>VLOOKUP(A13,SinhVien!A:D,4,FALSE)</f>
        <v>XH13W9A1</v>
      </c>
    </row>
    <row r="14" hidden="1" spans="1:3">
      <c r="A14" s="8" t="s">
        <v>34</v>
      </c>
      <c r="B14" s="9" t="s">
        <v>41</v>
      </c>
      <c r="C14" s="10" t="s">
        <v>45</v>
      </c>
    </row>
    <row r="15" hidden="1" spans="1:3">
      <c r="A15" s="3" t="s">
        <v>37</v>
      </c>
      <c r="B15" s="4" t="s">
        <v>43</v>
      </c>
      <c r="C15" s="1" t="s">
        <v>46</v>
      </c>
    </row>
    <row r="16" hidden="1" spans="1:3">
      <c r="A16" s="6"/>
      <c r="B16" s="7"/>
      <c r="C16" s="1" t="s">
        <v>47</v>
      </c>
    </row>
  </sheetData>
  <autoFilter xmlns:etc="http://www.wps.cn/officeDocument/2017/etCustomData" ref="A1:E16" etc:filterBottomFollowUsedRange="0">
    <filterColumn colId="1">
      <customFilters>
        <customFilter operator="equal" val="CT178"/>
      </customFilters>
    </filterColumn>
    <filterColumn colId="4">
      <customFilters>
        <customFilter operator="equal" val="CP1296C1"/>
      </customFilters>
    </filterColumn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"/>
  <sheetViews>
    <sheetView tabSelected="1" workbookViewId="0">
      <selection activeCell="C4" sqref="C4"/>
    </sheetView>
  </sheetViews>
  <sheetFormatPr defaultColWidth="9" defaultRowHeight="13.8" outlineLevelCol="3"/>
  <cols>
    <col min="4" max="4" width="11.125" customWidth="1"/>
  </cols>
  <sheetData>
    <row r="1" spans="1:4">
      <c r="A1" s="1" t="s">
        <v>0</v>
      </c>
      <c r="B1" s="1" t="s">
        <v>39</v>
      </c>
      <c r="C1" s="1" t="s">
        <v>40</v>
      </c>
      <c r="D1" s="2" t="s">
        <v>2</v>
      </c>
    </row>
    <row r="2" hidden="1" spans="1:4">
      <c r="A2" s="3">
        <v>1111434</v>
      </c>
      <c r="B2" s="4" t="s">
        <v>41</v>
      </c>
      <c r="C2" s="1" t="s">
        <v>42</v>
      </c>
      <c r="D2" s="5" t="str">
        <f>VLOOKUP(A2,SinhVien!A:D,4,FALSE)</f>
        <v>DI11Y9A2</v>
      </c>
    </row>
    <row r="3" hidden="1" spans="1:4">
      <c r="A3" s="3">
        <v>1111450</v>
      </c>
      <c r="B3" s="4" t="s">
        <v>43</v>
      </c>
      <c r="C3" s="1" t="s">
        <v>42</v>
      </c>
      <c r="D3" s="5" t="str">
        <f>VLOOKUP(A3,SinhVien!A:D,4,FALSE)</f>
        <v>DI11Y9A1</v>
      </c>
    </row>
    <row r="4" spans="1:4">
      <c r="A4" s="3" t="s">
        <v>7</v>
      </c>
      <c r="B4" s="4" t="s">
        <v>44</v>
      </c>
      <c r="C4" s="1" t="s">
        <v>45</v>
      </c>
      <c r="D4" s="5" t="str">
        <f>VLOOKUP(A4,SinhVien!A:D,4,FALSE)</f>
        <v>CP1296C1</v>
      </c>
    </row>
    <row r="5" hidden="1" spans="1:4">
      <c r="A5" s="3" t="s">
        <v>10</v>
      </c>
      <c r="B5" s="4" t="s">
        <v>41</v>
      </c>
      <c r="C5" s="1" t="s">
        <v>46</v>
      </c>
      <c r="D5" s="5" t="str">
        <f>VLOOKUP(A5,SinhVien!A:D,4,FALSE)</f>
        <v>CP1296C1</v>
      </c>
    </row>
    <row r="6" hidden="1" spans="1:4">
      <c r="A6" s="3" t="s">
        <v>12</v>
      </c>
      <c r="B6" s="4" t="s">
        <v>43</v>
      </c>
      <c r="C6" s="1" t="s">
        <v>47</v>
      </c>
      <c r="D6" s="5" t="str">
        <f>VLOOKUP(A6,SinhVien!A:D,4,FALSE)</f>
        <v>CP1296C1</v>
      </c>
    </row>
    <row r="7" hidden="1" spans="1:4">
      <c r="A7" s="3" t="s">
        <v>14</v>
      </c>
      <c r="B7" s="4" t="s">
        <v>44</v>
      </c>
      <c r="C7" s="1" t="s">
        <v>42</v>
      </c>
      <c r="D7" s="5" t="str">
        <f>VLOOKUP(A7,SinhVien!A:D,4,FALSE)</f>
        <v>DI1296A2</v>
      </c>
    </row>
    <row r="8" hidden="1" spans="1:4">
      <c r="A8" s="3" t="s">
        <v>17</v>
      </c>
      <c r="B8" s="4" t="s">
        <v>41</v>
      </c>
      <c r="C8" s="1" t="s">
        <v>42</v>
      </c>
      <c r="D8" s="5" t="str">
        <f>VLOOKUP(A8,SinhVien!A:D,4,FALSE)</f>
        <v>DI1295A1</v>
      </c>
    </row>
    <row r="9" hidden="1" spans="1:4">
      <c r="A9" s="3" t="s">
        <v>20</v>
      </c>
      <c r="B9" s="4" t="s">
        <v>43</v>
      </c>
      <c r="C9" s="1" t="s">
        <v>45</v>
      </c>
      <c r="D9" s="5" t="str">
        <f>VLOOKUP(A9,SinhVien!A:D,4,FALSE)</f>
        <v>DI12Z6A2</v>
      </c>
    </row>
    <row r="10" hidden="1" spans="1:4">
      <c r="A10" s="3" t="s">
        <v>23</v>
      </c>
      <c r="B10" s="4" t="s">
        <v>44</v>
      </c>
      <c r="C10" s="1" t="s">
        <v>46</v>
      </c>
      <c r="D10" s="5" t="str">
        <f>VLOOKUP(A10,SinhVien!A:D,4,FALSE)</f>
        <v>TC12Z5A1</v>
      </c>
    </row>
    <row r="11" hidden="1" spans="1:4">
      <c r="A11" s="3" t="s">
        <v>26</v>
      </c>
      <c r="B11" s="4" t="s">
        <v>41</v>
      </c>
      <c r="C11" s="1" t="s">
        <v>47</v>
      </c>
      <c r="D11" s="5" t="str">
        <f>VLOOKUP(A11,SinhVien!A:D,4,FALSE)</f>
        <v>TC12Z5A1</v>
      </c>
    </row>
    <row r="12" hidden="1" spans="1:4">
      <c r="A12" s="3" t="s">
        <v>28</v>
      </c>
      <c r="B12" s="4" t="s">
        <v>43</v>
      </c>
      <c r="C12" s="1" t="s">
        <v>42</v>
      </c>
      <c r="D12" s="5" t="str">
        <f>VLOOKUP(A12,SinhVien!A:D,4,FALSE)</f>
        <v>TC12Z5A2</v>
      </c>
    </row>
    <row r="13" hidden="1" spans="1:4">
      <c r="A13" s="3" t="s">
        <v>31</v>
      </c>
      <c r="B13" s="4" t="s">
        <v>44</v>
      </c>
      <c r="C13" s="1" t="s">
        <v>42</v>
      </c>
      <c r="D13" s="5" t="str">
        <f>VLOOKUP(A13,SinhVien!A:D,4,FALSE)</f>
        <v>XH13W9A1</v>
      </c>
    </row>
    <row r="14" hidden="1" spans="1:4">
      <c r="A14" s="3" t="s">
        <v>34</v>
      </c>
      <c r="B14" s="4" t="s">
        <v>41</v>
      </c>
      <c r="C14" s="1" t="s">
        <v>45</v>
      </c>
      <c r="D14" s="5" t="str">
        <f>VLOOKUP(A14,SinhVien!A:D,4,FALSE)</f>
        <v>DI13Z6A1</v>
      </c>
    </row>
    <row r="15" hidden="1" spans="1:4">
      <c r="A15" s="3" t="s">
        <v>37</v>
      </c>
      <c r="B15" s="4" t="s">
        <v>43</v>
      </c>
      <c r="C15" s="1" t="s">
        <v>46</v>
      </c>
      <c r="D15" s="5" t="str">
        <f>VLOOKUP(A15,SinhVien!A:D,4,FALSE)</f>
        <v>DI13Z6A1</v>
      </c>
    </row>
    <row r="16" hidden="1" spans="1:4">
      <c r="A16" s="6"/>
      <c r="B16" s="7"/>
      <c r="C16" s="1" t="s">
        <v>47</v>
      </c>
      <c r="D16" s="5"/>
    </row>
  </sheetData>
  <autoFilter xmlns:etc="http://www.wps.cn/officeDocument/2017/etCustomData" ref="A1:D16" etc:filterBottomFollowUsedRange="0">
    <filterColumn colId="1">
      <customFilters>
        <customFilter operator="equal" val="CT178"/>
      </customFilters>
    </filterColumn>
    <filterColumn colId="3">
      <customFilters>
        <customFilter operator="equal" val="CP1296C1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SinhVien</vt:lpstr>
      <vt:lpstr>Diem</vt:lpstr>
      <vt:lpstr>MonHoc</vt:lpstr>
      <vt:lpstr>Caua</vt:lpstr>
      <vt:lpstr>Caub</vt:lpstr>
      <vt:lpstr>Cauc</vt:lpstr>
      <vt:lpstr>Caud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ducnhan384@gmail.com</dc:creator>
  <cp:lastModifiedBy>THINH</cp:lastModifiedBy>
  <dcterms:created xsi:type="dcterms:W3CDTF">2026-02-26T13:26:00Z</dcterms:created>
  <dcterms:modified xsi:type="dcterms:W3CDTF">2026-02-27T05:55:32Z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278A328CCBC14F529BAC970553DECFB4_13</vt:lpwstr>
  </property>
  <property fmtid="{D5CDD505-2E9C-101B-9397-08002B2CF9AE}" pid="3" name="KSOProductBuildVer">
    <vt:lpwstr>1033-12.2.0.22222</vt:lpwstr>
  </property>
</Properties>
</file>